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il.shrestha\Downloads\class1\"/>
    </mc:Choice>
  </mc:AlternateContent>
  <xr:revisionPtr revIDLastSave="0" documentId="13_ncr:20001_{93026FEA-A62F-4FFE-9BE8-B52EB7859836}" xr6:coauthVersionLast="47" xr6:coauthVersionMax="47" xr10:uidLastSave="{00000000-0000-0000-0000-000000000000}"/>
  <bookViews>
    <workbookView xWindow="-18617" yWindow="-1449" windowWidth="18720" windowHeight="11829" xr2:uid="{00000000-000D-0000-FFFF-FFFF00000000}"/>
  </bookViews>
  <sheets>
    <sheet name="Guidebook Example" sheetId="1" r:id="rId1"/>
    <sheet name="Floor Adjustment" sheetId="2" r:id="rId2"/>
    <sheet name="Design Weight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2" l="1"/>
  <c r="I9" i="2"/>
  <c r="I10" i="2"/>
  <c r="I7" i="2"/>
  <c r="C8" i="3"/>
  <c r="B8" i="3"/>
  <c r="A8" i="3"/>
  <c r="C7" i="3"/>
  <c r="B7" i="3"/>
  <c r="A7" i="3"/>
  <c r="C6" i="3"/>
  <c r="B6" i="3"/>
  <c r="A6" i="3"/>
  <c r="C5" i="3"/>
  <c r="B5" i="3"/>
  <c r="A5" i="3"/>
  <c r="C4" i="3"/>
  <c r="B4" i="3"/>
  <c r="A4" i="3"/>
  <c r="E10" i="2"/>
  <c r="D10" i="2"/>
  <c r="C10" i="2"/>
  <c r="E9" i="2"/>
  <c r="D9" i="2"/>
  <c r="C9" i="2"/>
  <c r="F9" i="2" s="1"/>
  <c r="E8" i="2"/>
  <c r="D8" i="2"/>
  <c r="C8" i="2"/>
  <c r="E7" i="2"/>
  <c r="D7" i="2"/>
  <c r="C7" i="2"/>
  <c r="E6" i="2"/>
  <c r="D6" i="2"/>
  <c r="C6" i="2"/>
  <c r="C9" i="1"/>
  <c r="O8" i="1"/>
  <c r="L8" i="1"/>
  <c r="I8" i="1"/>
  <c r="G8" i="1"/>
  <c r="F8" i="1"/>
  <c r="D8" i="3" s="1"/>
  <c r="O7" i="1"/>
  <c r="L7" i="1"/>
  <c r="I7" i="1"/>
  <c r="J7" i="1" s="1"/>
  <c r="K7" i="1" s="1"/>
  <c r="H7" i="3" s="1"/>
  <c r="I7" i="3" s="1"/>
  <c r="G7" i="1"/>
  <c r="H7" i="1" s="1"/>
  <c r="F7" i="3" s="1"/>
  <c r="G7" i="3" s="1"/>
  <c r="F7" i="1"/>
  <c r="D7" i="3" s="1"/>
  <c r="O6" i="1"/>
  <c r="L6" i="1"/>
  <c r="I6" i="1"/>
  <c r="G6" i="1"/>
  <c r="H6" i="1" s="1"/>
  <c r="F6" i="3" s="1"/>
  <c r="F6" i="1"/>
  <c r="D6" i="3" s="1"/>
  <c r="O5" i="1"/>
  <c r="L5" i="1"/>
  <c r="I5" i="1"/>
  <c r="G5" i="1"/>
  <c r="H5" i="1" s="1"/>
  <c r="F5" i="3" s="1"/>
  <c r="F5" i="1"/>
  <c r="D5" i="3" s="1"/>
  <c r="O4" i="1"/>
  <c r="L4" i="1"/>
  <c r="I4" i="1"/>
  <c r="G4" i="1"/>
  <c r="H4" i="1" s="1"/>
  <c r="F4" i="1"/>
  <c r="D4" i="3" s="1"/>
  <c r="M5" i="1" l="1"/>
  <c r="N5" i="1" s="1"/>
  <c r="J5" i="3" s="1"/>
  <c r="M7" i="1"/>
  <c r="N7" i="1" s="1"/>
  <c r="J7" i="3" s="1"/>
  <c r="J6" i="1"/>
  <c r="K6" i="1" s="1"/>
  <c r="H6" i="3" s="1"/>
  <c r="J4" i="1"/>
  <c r="M6" i="1"/>
  <c r="N6" i="1" s="1"/>
  <c r="J6" i="3" s="1"/>
  <c r="K6" i="3" s="1"/>
  <c r="P5" i="1"/>
  <c r="G7" i="2" s="1"/>
  <c r="H7" i="2" s="1"/>
  <c r="C11" i="2"/>
  <c r="M4" i="1"/>
  <c r="N4" i="1" s="1"/>
  <c r="P4" i="1"/>
  <c r="G6" i="2" s="1"/>
  <c r="P6" i="1"/>
  <c r="L6" i="3" s="1"/>
  <c r="M6" i="3" s="1"/>
  <c r="J8" i="1"/>
  <c r="P7" i="1"/>
  <c r="J5" i="1"/>
  <c r="K5" i="1" s="1"/>
  <c r="H5" i="3" s="1"/>
  <c r="I5" i="3" s="1"/>
  <c r="M8" i="1"/>
  <c r="I6" i="3"/>
  <c r="G6" i="3"/>
  <c r="C9" i="3"/>
  <c r="F7" i="2"/>
  <c r="E7" i="3"/>
  <c r="F10" i="2"/>
  <c r="F8" i="2"/>
  <c r="L5" i="3"/>
  <c r="M5" i="3" s="1"/>
  <c r="K4" i="1"/>
  <c r="J9" i="1"/>
  <c r="K7" i="3"/>
  <c r="F4" i="3"/>
  <c r="H8" i="1"/>
  <c r="F8" i="3" s="1"/>
  <c r="G8" i="3" s="1"/>
  <c r="G9" i="2"/>
  <c r="H9" i="2" s="1"/>
  <c r="L7" i="3"/>
  <c r="M7" i="3" s="1"/>
  <c r="L4" i="3"/>
  <c r="G8" i="2"/>
  <c r="H8" i="2" s="1"/>
  <c r="D9" i="3"/>
  <c r="E4" i="3"/>
  <c r="L9" i="1"/>
  <c r="F6" i="2"/>
  <c r="K5" i="3"/>
  <c r="I9" i="1"/>
  <c r="E8" i="3"/>
  <c r="E6" i="3"/>
  <c r="F9" i="1"/>
  <c r="E5" i="3"/>
  <c r="G5" i="3"/>
  <c r="G9" i="1"/>
  <c r="O9" i="1"/>
  <c r="M9" i="1" l="1"/>
  <c r="P8" i="1"/>
  <c r="F11" i="2"/>
  <c r="L8" i="3"/>
  <c r="M8" i="3" s="1"/>
  <c r="G10" i="2"/>
  <c r="H10" i="2" s="1"/>
  <c r="G11" i="2"/>
  <c r="H6" i="2"/>
  <c r="I6" i="2" s="1"/>
  <c r="J6" i="2" s="1"/>
  <c r="H9" i="1"/>
  <c r="M4" i="3"/>
  <c r="G4" i="3"/>
  <c r="F9" i="3"/>
  <c r="P9" i="1"/>
  <c r="K8" i="1"/>
  <c r="H8" i="3" s="1"/>
  <c r="I8" i="3" s="1"/>
  <c r="H4" i="3"/>
  <c r="N8" i="1"/>
  <c r="J8" i="3" s="1"/>
  <c r="K8" i="3" s="1"/>
  <c r="J4" i="3"/>
  <c r="J9" i="2" l="1"/>
  <c r="N7" i="3" s="1"/>
  <c r="O7" i="3" s="1"/>
  <c r="J7" i="2"/>
  <c r="J8" i="2"/>
  <c r="K8" i="2" s="1"/>
  <c r="L9" i="3"/>
  <c r="K9" i="1"/>
  <c r="I4" i="3"/>
  <c r="H9" i="3"/>
  <c r="N4" i="3"/>
  <c r="K6" i="2"/>
  <c r="K9" i="2"/>
  <c r="J9" i="3"/>
  <c r="K4" i="3"/>
  <c r="N9" i="1"/>
  <c r="J10" i="2" l="1"/>
  <c r="N5" i="3"/>
  <c r="O5" i="3" s="1"/>
  <c r="J11" i="2"/>
  <c r="K7" i="2"/>
  <c r="N6" i="3"/>
  <c r="O6" i="3" s="1"/>
  <c r="O4" i="3"/>
  <c r="K10" i="2"/>
  <c r="N8" i="3"/>
  <c r="O8" i="3" s="1"/>
  <c r="K11" i="2" l="1"/>
  <c r="N9" i="3"/>
</calcChain>
</file>

<file path=xl/sharedStrings.xml><?xml version="1.0" encoding="utf-8"?>
<sst xmlns="http://schemas.openxmlformats.org/spreadsheetml/2006/main" count="65" uniqueCount="51">
  <si>
    <t>Sample allocation guidebook example - formula-driven matrix</t>
  </si>
  <si>
    <t>Stratum ID</t>
  </si>
  <si>
    <t>Description</t>
  </si>
  <si>
    <t>Population (N_h)</t>
  </si>
  <si>
    <t>Std. Dev. (S_h)</t>
  </si>
  <si>
    <t>Unit Cost (c_h)</t>
  </si>
  <si>
    <t>Equal allocation n_h</t>
  </si>
  <si>
    <t>Population share W_h</t>
  </si>
  <si>
    <t>Proportional allocation n_h</t>
  </si>
  <si>
    <t>Product N_h*S_h</t>
  </si>
  <si>
    <t>Neyman proportion</t>
  </si>
  <si>
    <t>Neyman allocation n_h</t>
  </si>
  <si>
    <t>Power term N_h^q</t>
  </si>
  <si>
    <t>Power proportion</t>
  </si>
  <si>
    <t>Power allocation n_h</t>
  </si>
  <si>
    <t>Cost term N_h*S_h/SQRT(c_h)</t>
  </si>
  <si>
    <t>Cost allocation n_h</t>
  </si>
  <si>
    <t>Total Sample Size (n)</t>
  </si>
  <si>
    <t>Power Parameter (q)</t>
  </si>
  <si>
    <t>Minimum Floor (n_min)</t>
  </si>
  <si>
    <t>Mountain Rural</t>
  </si>
  <si>
    <t>Hill Rural</t>
  </si>
  <si>
    <t>Hill Urban</t>
  </si>
  <si>
    <t>Terai Rural</t>
  </si>
  <si>
    <t>Terai Urban</t>
  </si>
  <si>
    <t>Total</t>
  </si>
  <si>
    <t>Notes</t>
  </si>
  <si>
    <t>Yellow cells are inputs. Green cells are formulas. The last stratum absorbs any rounding drift so each final allocation column equals the total sample size.</t>
  </si>
  <si>
    <t>Cost-constrained allocation with minimum sample floor</t>
  </si>
  <si>
    <t>Population</t>
  </si>
  <si>
    <t>Std. Dev.</t>
  </si>
  <si>
    <t>Unit Cost</t>
  </si>
  <si>
    <t>Cost Term</t>
  </si>
  <si>
    <t>Original Cost Allocation</t>
  </si>
  <si>
    <t>Below Floor?</t>
  </si>
  <si>
    <t>Adjusted Raw</t>
  </si>
  <si>
    <t>Adjusted Allocation</t>
  </si>
  <si>
    <t>Net Change</t>
  </si>
  <si>
    <t>Sampling fractions and design weights by allocation method</t>
  </si>
  <si>
    <t>Equal n</t>
  </si>
  <si>
    <t>Equal w</t>
  </si>
  <si>
    <t>Prop n</t>
  </si>
  <si>
    <t>Prop w</t>
  </si>
  <si>
    <t>Neyman n</t>
  </si>
  <si>
    <t>Neyman w</t>
  </si>
  <si>
    <t>Power n</t>
  </si>
  <si>
    <t>Power w</t>
  </si>
  <si>
    <t>Cost n</t>
  </si>
  <si>
    <t>Cost w</t>
  </si>
  <si>
    <t>Floor Cost n</t>
  </si>
  <si>
    <t>Floor Cost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</si>
</sst>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4"/>
      <color rgb="FF17365D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4EA"/>
        <bgColor indexed="64"/>
      </patternFill>
    </fill>
    <fill>
      <patternFill patternType="solid">
        <fgColor rgb="FFE2F0D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2" fontId="0" fillId="0" borderId="1" xfId="0" applyNumberFormat="1" applyBorder="1"/>
    <xf numFmtId="0" fontId="0" fillId="0" borderId="1" xfId="0" applyBorder="1"/>
    <xf numFmtId="3" fontId="0" fillId="4" borderId="1" xfId="0" applyNumberFormat="1" applyFill="1" applyBorder="1"/>
    <xf numFmtId="164" fontId="0" fillId="4" borderId="1" xfId="0" applyNumberFormat="1" applyFill="1" applyBorder="1"/>
    <xf numFmtId="4" fontId="0" fillId="4" borderId="1" xfId="0" applyNumberFormat="1" applyFill="1" applyBorder="1"/>
    <xf numFmtId="3" fontId="2" fillId="5" borderId="2" xfId="0" applyNumberFormat="1" applyFont="1" applyFill="1" applyBorder="1"/>
    <xf numFmtId="164" fontId="2" fillId="5" borderId="2" xfId="0" applyNumberFormat="1" applyFont="1" applyFill="1" applyBorder="1"/>
    <xf numFmtId="4" fontId="2" fillId="5" borderId="2" xfId="0" applyNumberFormat="1" applyFont="1" applyFill="1" applyBorder="1"/>
    <xf numFmtId="0" fontId="3" fillId="0" borderId="0" xfId="0" applyFont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pane ySplit="1" topLeftCell="A2" activePane="bottomLeft" state="frozen"/>
      <selection pane="bottomLeft" activeCell="F14" sqref="F14"/>
    </sheetView>
  </sheetViews>
  <sheetFormatPr defaultRowHeight="15" x14ac:dyDescent="0.25"/>
  <cols>
    <col min="1" max="1" width="10.7109375" customWidth="1"/>
    <col min="2" max="2" width="18.7109375" customWidth="1"/>
    <col min="3" max="16" width="13.7109375" customWidth="1"/>
    <col min="17" max="17" width="23.7109375" customWidth="1"/>
    <col min="18" max="18" width="13.7109375" customWidth="1"/>
  </cols>
  <sheetData>
    <row r="1" spans="1:16" ht="18.75" x14ac:dyDescent="0.3">
      <c r="A1" s="1" t="s">
        <v>0</v>
      </c>
    </row>
    <row r="3" spans="1:16" ht="4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</row>
    <row r="4" spans="1:16" x14ac:dyDescent="0.25">
      <c r="A4" s="5">
        <v>1</v>
      </c>
      <c r="B4" s="5" t="s">
        <v>20</v>
      </c>
      <c r="C4" s="3">
        <v>80000</v>
      </c>
      <c r="D4" s="3">
        <v>12</v>
      </c>
      <c r="E4" s="3">
        <v>8000</v>
      </c>
      <c r="F4" s="6">
        <f>ROUND($B$14/COUNT($C$4:$C$8),0)</f>
        <v>240</v>
      </c>
      <c r="G4" s="7">
        <f>C4/SUM($C$4:$C$8)</f>
        <v>4.2105263157894736E-2</v>
      </c>
      <c r="H4" s="6">
        <f>ROUND($B$14*G4,0)</f>
        <v>51</v>
      </c>
      <c r="I4" s="6">
        <f>C4*D4</f>
        <v>960000</v>
      </c>
      <c r="J4" s="7">
        <f>I4/SUM($I$4:$I$8)</f>
        <v>2.5170424750917672E-2</v>
      </c>
      <c r="K4" s="6">
        <f>ROUND($B$14*J4,0)</f>
        <v>30</v>
      </c>
      <c r="L4" s="8">
        <f>C4^$B$15</f>
        <v>282.84271247461902</v>
      </c>
      <c r="M4" s="7">
        <f>L4/SUM($L$4:$L$8)</f>
        <v>9.6786351197437018E-2</v>
      </c>
      <c r="N4" s="6">
        <f>ROUND($B$14*M4,0)</f>
        <v>116</v>
      </c>
      <c r="O4" s="8">
        <f>(C4*D4)/SQRT(E4)</f>
        <v>10733.126291998989</v>
      </c>
      <c r="P4" s="6">
        <f>ROUND($B$14*(O4/SUM($O$4:$O$8)),0)</f>
        <v>17</v>
      </c>
    </row>
    <row r="5" spans="1:16" x14ac:dyDescent="0.25">
      <c r="A5" s="5">
        <v>2</v>
      </c>
      <c r="B5" s="5" t="s">
        <v>21</v>
      </c>
      <c r="C5" s="3">
        <v>340000</v>
      </c>
      <c r="D5" s="3">
        <v>15</v>
      </c>
      <c r="E5" s="3">
        <v>4000</v>
      </c>
      <c r="F5" s="6">
        <f>ROUND($B$14/COUNT($C$4:$C$8),0)</f>
        <v>240</v>
      </c>
      <c r="G5" s="7">
        <f>C5/SUM($C$4:$C$8)</f>
        <v>0.17894736842105263</v>
      </c>
      <c r="H5" s="6">
        <f>ROUND($B$14*G5,0)</f>
        <v>215</v>
      </c>
      <c r="I5" s="6">
        <f>C5*D5</f>
        <v>5100000</v>
      </c>
      <c r="J5" s="7">
        <f>I5/SUM($I$4:$I$8)</f>
        <v>0.13371788148925012</v>
      </c>
      <c r="K5" s="6">
        <f>ROUND($B$14*J5,0)</f>
        <v>160</v>
      </c>
      <c r="L5" s="8">
        <f>C5^$B$15</f>
        <v>583.09518948453001</v>
      </c>
      <c r="M5" s="7">
        <f>L5/SUM($L$4:$L$8)</f>
        <v>0.19953017455257954</v>
      </c>
      <c r="N5" s="6">
        <f>ROUND($B$14*M5,0)</f>
        <v>239</v>
      </c>
      <c r="O5" s="8">
        <f>(C5*D5)/SQRT(E5)</f>
        <v>80638.080334293671</v>
      </c>
      <c r="P5" s="6">
        <f>ROUND($B$14*(O5/SUM($O$4:$O$8)),0)</f>
        <v>129</v>
      </c>
    </row>
    <row r="6" spans="1:16" x14ac:dyDescent="0.25">
      <c r="A6" s="5">
        <v>3</v>
      </c>
      <c r="B6" s="5" t="s">
        <v>22</v>
      </c>
      <c r="C6" s="3">
        <v>260000</v>
      </c>
      <c r="D6" s="3">
        <v>22</v>
      </c>
      <c r="E6" s="3">
        <v>3000</v>
      </c>
      <c r="F6" s="6">
        <f>ROUND($B$14/COUNT($C$4:$C$8),0)</f>
        <v>240</v>
      </c>
      <c r="G6" s="7">
        <f>C6/SUM($C$4:$C$8)</f>
        <v>0.1368421052631579</v>
      </c>
      <c r="H6" s="6">
        <f>ROUND($B$14*G6,0)</f>
        <v>164</v>
      </c>
      <c r="I6" s="6">
        <f>C6*D6</f>
        <v>5720000</v>
      </c>
      <c r="J6" s="7">
        <f>I6/SUM($I$4:$I$8)</f>
        <v>0.14997378080755114</v>
      </c>
      <c r="K6" s="6">
        <f>ROUND($B$14*J6,0)</f>
        <v>180</v>
      </c>
      <c r="L6" s="8">
        <f>C6^$B$15</f>
        <v>509.90195135927848</v>
      </c>
      <c r="M6" s="7">
        <f>L6/SUM($L$4:$L$8)</f>
        <v>0.1744840760037123</v>
      </c>
      <c r="N6" s="6">
        <f>ROUND($B$14*M6,0)</f>
        <v>209</v>
      </c>
      <c r="O6" s="8">
        <f>(C6*D6)/SQRT(E6)</f>
        <v>104432.43429765166</v>
      </c>
      <c r="P6" s="6">
        <f>ROUND($B$14*(O6/SUM($O$4:$O$8)),0)</f>
        <v>167</v>
      </c>
    </row>
    <row r="7" spans="1:16" x14ac:dyDescent="0.25">
      <c r="A7" s="5">
        <v>4</v>
      </c>
      <c r="B7" s="5" t="s">
        <v>23</v>
      </c>
      <c r="C7" s="3">
        <v>780000</v>
      </c>
      <c r="D7" s="3">
        <v>18</v>
      </c>
      <c r="E7" s="3">
        <v>2500</v>
      </c>
      <c r="F7" s="6">
        <f>ROUND($B$14/COUNT($C$4:$C$8),0)</f>
        <v>240</v>
      </c>
      <c r="G7" s="7">
        <f>C7/SUM($C$4:$C$8)</f>
        <v>0.41052631578947368</v>
      </c>
      <c r="H7" s="6">
        <f>ROUND($B$14*G7,0)</f>
        <v>493</v>
      </c>
      <c r="I7" s="6">
        <f>C7*D7</f>
        <v>14040000</v>
      </c>
      <c r="J7" s="7">
        <f>I7/SUM($I$4:$I$8)</f>
        <v>0.36811746198217093</v>
      </c>
      <c r="K7" s="6">
        <f>ROUND($B$14*J7,0)</f>
        <v>442</v>
      </c>
      <c r="L7" s="8">
        <f>C7^$B$15</f>
        <v>883.17608663278463</v>
      </c>
      <c r="M7" s="7">
        <f>L7/SUM($L$4:$L$8)</f>
        <v>0.30221528475013926</v>
      </c>
      <c r="N7" s="6">
        <f>ROUND($B$14*M7,0)</f>
        <v>363</v>
      </c>
      <c r="O7" s="8">
        <f>(C7*D7)/SQRT(E7)</f>
        <v>280800</v>
      </c>
      <c r="P7" s="6">
        <f>ROUND($B$14*(O7/SUM($O$4:$O$8)),0)</f>
        <v>448</v>
      </c>
    </row>
    <row r="8" spans="1:16" x14ac:dyDescent="0.25">
      <c r="A8" s="5">
        <v>5</v>
      </c>
      <c r="B8" s="5" t="s">
        <v>24</v>
      </c>
      <c r="C8" s="3">
        <v>440000</v>
      </c>
      <c r="D8" s="3">
        <v>28</v>
      </c>
      <c r="E8" s="3">
        <v>2000</v>
      </c>
      <c r="F8" s="6">
        <f>ROUND($B$14/COUNT($C$4:$C$8),0)</f>
        <v>240</v>
      </c>
      <c r="G8" s="7">
        <f>C8/SUM($C$4:$C$8)</f>
        <v>0.23157894736842105</v>
      </c>
      <c r="H8" s="6">
        <f>$B$14-SUM(H4:H7)</f>
        <v>277</v>
      </c>
      <c r="I8" s="6">
        <f>C8*D8</f>
        <v>12320000</v>
      </c>
      <c r="J8" s="7">
        <f>I8/SUM($I$4:$I$8)</f>
        <v>0.32302045097011012</v>
      </c>
      <c r="K8" s="6">
        <f>$B$14-SUM(K4:K7)</f>
        <v>388</v>
      </c>
      <c r="L8" s="8">
        <f>C8^$B$15</f>
        <v>663.32495807108</v>
      </c>
      <c r="M8" s="7">
        <f>L8/SUM($L$4:$L$8)</f>
        <v>0.2269841134961319</v>
      </c>
      <c r="N8" s="6">
        <f>$B$14-SUM(N4:N7)</f>
        <v>273</v>
      </c>
      <c r="O8" s="8">
        <f>(C8*D8)/SQRT(E8)</f>
        <v>275483.57482797408</v>
      </c>
      <c r="P8" s="6">
        <f>$B$14-SUM(P4:P7)</f>
        <v>439</v>
      </c>
    </row>
    <row r="9" spans="1:16" x14ac:dyDescent="0.25">
      <c r="A9" s="9" t="s">
        <v>25</v>
      </c>
      <c r="B9" s="9"/>
      <c r="C9" s="9">
        <f>SUM(C4:C8)</f>
        <v>1900000</v>
      </c>
      <c r="D9" s="9"/>
      <c r="E9" s="9"/>
      <c r="F9" s="9">
        <f t="shared" ref="F9:P9" si="0">SUM(F4:F8)</f>
        <v>1200</v>
      </c>
      <c r="G9" s="10">
        <f t="shared" si="0"/>
        <v>1</v>
      </c>
      <c r="H9" s="9">
        <f t="shared" si="0"/>
        <v>1200</v>
      </c>
      <c r="I9" s="9">
        <f t="shared" si="0"/>
        <v>38140000</v>
      </c>
      <c r="J9" s="10">
        <f t="shared" si="0"/>
        <v>1</v>
      </c>
      <c r="K9" s="9">
        <f t="shared" si="0"/>
        <v>1200</v>
      </c>
      <c r="L9" s="11">
        <f t="shared" si="0"/>
        <v>2922.3408980222921</v>
      </c>
      <c r="M9" s="10">
        <f t="shared" si="0"/>
        <v>1</v>
      </c>
      <c r="N9" s="9">
        <f t="shared" si="0"/>
        <v>1200</v>
      </c>
      <c r="O9" s="11">
        <f t="shared" si="0"/>
        <v>752087.21575191838</v>
      </c>
      <c r="P9" s="9">
        <f t="shared" si="0"/>
        <v>1200</v>
      </c>
    </row>
    <row r="11" spans="1:16" ht="18.75" x14ac:dyDescent="0.3">
      <c r="A11" s="1" t="s">
        <v>26</v>
      </c>
    </row>
    <row r="12" spans="1:16" x14ac:dyDescent="0.25">
      <c r="A12" s="12" t="s">
        <v>27</v>
      </c>
    </row>
    <row r="14" spans="1:16" ht="45" x14ac:dyDescent="0.25">
      <c r="A14" s="2" t="s">
        <v>17</v>
      </c>
      <c r="B14" s="3">
        <v>1200</v>
      </c>
    </row>
    <row r="15" spans="1:16" ht="45" x14ac:dyDescent="0.25">
      <c r="A15" s="2" t="s">
        <v>18</v>
      </c>
      <c r="B15" s="4">
        <v>0.5</v>
      </c>
    </row>
    <row r="16" spans="1:16" ht="45" x14ac:dyDescent="0.25">
      <c r="A16" s="2" t="s">
        <v>19</v>
      </c>
      <c r="B16" s="3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>
      <pane ySplit="4" topLeftCell="A5" activePane="bottomLeft" state="frozen"/>
      <selection pane="bottomLeft" activeCell="E16" sqref="E16"/>
    </sheetView>
  </sheetViews>
  <sheetFormatPr defaultRowHeight="15" x14ac:dyDescent="0.25"/>
  <cols>
    <col min="1" max="1" width="10.7109375" customWidth="1"/>
    <col min="2" max="2" width="18.7109375" customWidth="1"/>
    <col min="3" max="11" width="14.7109375" customWidth="1"/>
  </cols>
  <sheetData>
    <row r="1" spans="1:11" ht="18.75" x14ac:dyDescent="0.3">
      <c r="A1" s="1" t="s">
        <v>28</v>
      </c>
    </row>
    <row r="2" spans="1:11" ht="45" x14ac:dyDescent="0.25">
      <c r="A2" s="2" t="s">
        <v>17</v>
      </c>
      <c r="B2" s="3">
        <v>1200</v>
      </c>
    </row>
    <row r="3" spans="1:11" ht="45" x14ac:dyDescent="0.25">
      <c r="A3" s="2" t="s">
        <v>19</v>
      </c>
      <c r="B3" s="3">
        <v>30</v>
      </c>
    </row>
    <row r="5" spans="1:11" ht="30" x14ac:dyDescent="0.25">
      <c r="A5" s="2" t="s">
        <v>1</v>
      </c>
      <c r="B5" s="2" t="s">
        <v>2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  <c r="J5" s="2" t="s">
        <v>36</v>
      </c>
      <c r="K5" s="2" t="s">
        <v>37</v>
      </c>
    </row>
    <row r="6" spans="1:11" x14ac:dyDescent="0.25">
      <c r="A6" s="5">
        <v>1</v>
      </c>
      <c r="B6" s="5" t="s">
        <v>20</v>
      </c>
      <c r="C6" s="13">
        <f>'Guidebook Example'!C4</f>
        <v>80000</v>
      </c>
      <c r="D6" s="4">
        <f>'Guidebook Example'!D4</f>
        <v>12</v>
      </c>
      <c r="E6" s="13">
        <f>'Guidebook Example'!E4</f>
        <v>8000</v>
      </c>
      <c r="F6" s="8">
        <f>C6*D6/SQRT(E6)</f>
        <v>10733.126291998989</v>
      </c>
      <c r="G6" s="6">
        <f>'Guidebook Example'!P4</f>
        <v>17</v>
      </c>
      <c r="H6" s="6" t="b">
        <f>G6&lt;$B$3</f>
        <v>1</v>
      </c>
      <c r="I6" s="8">
        <f>IF(H6,$B$3,($B$2-SUMPRODUCT(--($G$6:$G$10&lt;$B$3),$B$3))*F6/SUMIFS($F$6:$F$10,$G$6:$G$10,"&gt;="&amp;$B$3))</f>
        <v>30</v>
      </c>
      <c r="J6" s="6">
        <f>ROUND(I6,0)</f>
        <v>30</v>
      </c>
      <c r="K6" s="6">
        <f>J6-G6</f>
        <v>13</v>
      </c>
    </row>
    <row r="7" spans="1:11" x14ac:dyDescent="0.25">
      <c r="A7" s="5">
        <v>2</v>
      </c>
      <c r="B7" s="5" t="s">
        <v>21</v>
      </c>
      <c r="C7" s="13">
        <f>'Guidebook Example'!C5</f>
        <v>340000</v>
      </c>
      <c r="D7" s="4">
        <f>'Guidebook Example'!D5</f>
        <v>15</v>
      </c>
      <c r="E7" s="13">
        <f>'Guidebook Example'!E5</f>
        <v>4000</v>
      </c>
      <c r="F7" s="8">
        <f>C7*D7/SQRT(E7)</f>
        <v>80638.080334293671</v>
      </c>
      <c r="G7" s="6">
        <f>'Guidebook Example'!P5</f>
        <v>129</v>
      </c>
      <c r="H7" s="6" t="b">
        <f>G7&lt;$B$3</f>
        <v>0</v>
      </c>
      <c r="I7" s="8">
        <f>($B$2-$I$6)*G7/SUM($G$7:$G$10)</f>
        <v>127.58241758241758</v>
      </c>
      <c r="J7" s="6">
        <f>ROUND(I7,0)</f>
        <v>128</v>
      </c>
      <c r="K7" s="6">
        <f>J7-G7</f>
        <v>-1</v>
      </c>
    </row>
    <row r="8" spans="1:11" x14ac:dyDescent="0.25">
      <c r="A8" s="5">
        <v>3</v>
      </c>
      <c r="B8" s="5" t="s">
        <v>22</v>
      </c>
      <c r="C8" s="13">
        <f>'Guidebook Example'!C6</f>
        <v>260000</v>
      </c>
      <c r="D8" s="4">
        <f>'Guidebook Example'!D6</f>
        <v>22</v>
      </c>
      <c r="E8" s="13">
        <f>'Guidebook Example'!E6</f>
        <v>3000</v>
      </c>
      <c r="F8" s="8">
        <f>C8*D8/SQRT(E8)</f>
        <v>104432.43429765166</v>
      </c>
      <c r="G8" s="6">
        <f>'Guidebook Example'!P6</f>
        <v>167</v>
      </c>
      <c r="H8" s="6" t="b">
        <f>G8&lt;$B$3</f>
        <v>0</v>
      </c>
      <c r="I8" s="8">
        <f t="shared" ref="I8:I10" si="0">($B$2-$I$6)*G8/SUM($G$7:$G$10)</f>
        <v>165.16483516483515</v>
      </c>
      <c r="J8" s="6">
        <f>ROUND(I8,0)</f>
        <v>165</v>
      </c>
      <c r="K8" s="6">
        <f>J8-G8</f>
        <v>-2</v>
      </c>
    </row>
    <row r="9" spans="1:11" x14ac:dyDescent="0.25">
      <c r="A9" s="5">
        <v>4</v>
      </c>
      <c r="B9" s="5" t="s">
        <v>23</v>
      </c>
      <c r="C9" s="13">
        <f>'Guidebook Example'!C7</f>
        <v>780000</v>
      </c>
      <c r="D9" s="4">
        <f>'Guidebook Example'!D7</f>
        <v>18</v>
      </c>
      <c r="E9" s="13">
        <f>'Guidebook Example'!E7</f>
        <v>2500</v>
      </c>
      <c r="F9" s="8">
        <f>C9*D9/SQRT(E9)</f>
        <v>280800</v>
      </c>
      <c r="G9" s="6">
        <f>'Guidebook Example'!P7</f>
        <v>448</v>
      </c>
      <c r="H9" s="6" t="b">
        <f>G9&lt;$B$3</f>
        <v>0</v>
      </c>
      <c r="I9" s="8">
        <f t="shared" si="0"/>
        <v>443.07692307692309</v>
      </c>
      <c r="J9" s="6">
        <f>ROUND(I9,0)</f>
        <v>443</v>
      </c>
      <c r="K9" s="6">
        <f>J9-G9</f>
        <v>-5</v>
      </c>
    </row>
    <row r="10" spans="1:11" x14ac:dyDescent="0.25">
      <c r="A10" s="5">
        <v>5</v>
      </c>
      <c r="B10" s="5" t="s">
        <v>24</v>
      </c>
      <c r="C10" s="13">
        <f>'Guidebook Example'!C8</f>
        <v>440000</v>
      </c>
      <c r="D10" s="4">
        <f>'Guidebook Example'!D8</f>
        <v>28</v>
      </c>
      <c r="E10" s="13">
        <f>'Guidebook Example'!E8</f>
        <v>2000</v>
      </c>
      <c r="F10" s="8">
        <f>C10*D10/SQRT(E10)</f>
        <v>275483.57482797408</v>
      </c>
      <c r="G10" s="6">
        <f>'Guidebook Example'!P8</f>
        <v>439</v>
      </c>
      <c r="H10" s="6" t="b">
        <f>G10&lt;$B$3</f>
        <v>0</v>
      </c>
      <c r="I10" s="8">
        <f t="shared" si="0"/>
        <v>434.17582417582418</v>
      </c>
      <c r="J10" s="6">
        <f>$B$2-SUM(J6:J9)</f>
        <v>434</v>
      </c>
      <c r="K10" s="6">
        <f>J10-G10</f>
        <v>-5</v>
      </c>
    </row>
    <row r="11" spans="1:11" x14ac:dyDescent="0.25">
      <c r="A11" s="9" t="s">
        <v>25</v>
      </c>
      <c r="C11" s="9">
        <f>SUM(C6:C10)</f>
        <v>1900000</v>
      </c>
      <c r="D11" s="9"/>
      <c r="E11" s="9"/>
      <c r="F11" s="11">
        <f>SUM(F6:F10)</f>
        <v>752087.21575191838</v>
      </c>
      <c r="G11" s="9">
        <f>SUM(G6:G10)</f>
        <v>1200</v>
      </c>
      <c r="H11" s="9"/>
      <c r="I11" s="9"/>
      <c r="J11" s="9">
        <f>SUM(J6:J10)</f>
        <v>1200</v>
      </c>
      <c r="K11" s="9">
        <f>SUM(K6:K10)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"/>
  <sheetViews>
    <sheetView workbookViewId="0">
      <pane ySplit="2" topLeftCell="A3" activePane="bottomLeft" state="frozen"/>
      <selection pane="bottomLeft" activeCell="J4" sqref="J4"/>
    </sheetView>
  </sheetViews>
  <sheetFormatPr defaultRowHeight="15" x14ac:dyDescent="0.25"/>
  <cols>
    <col min="1" max="1" width="10.7109375" customWidth="1"/>
    <col min="2" max="2" width="18.7109375" customWidth="1"/>
    <col min="3" max="3" width="14.7109375" customWidth="1"/>
    <col min="4" max="15" width="13.7109375" customWidth="1"/>
  </cols>
  <sheetData>
    <row r="1" spans="1:15" ht="18.75" x14ac:dyDescent="0.3">
      <c r="A1" s="1" t="s">
        <v>38</v>
      </c>
    </row>
    <row r="3" spans="1:15" x14ac:dyDescent="0.25">
      <c r="A3" s="2" t="s">
        <v>1</v>
      </c>
      <c r="B3" s="2" t="s">
        <v>2</v>
      </c>
      <c r="C3" s="2" t="s">
        <v>29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47</v>
      </c>
      <c r="M3" s="2" t="s">
        <v>48</v>
      </c>
      <c r="N3" s="2" t="s">
        <v>49</v>
      </c>
      <c r="O3" s="2" t="s">
        <v>50</v>
      </c>
    </row>
    <row r="4" spans="1:15" x14ac:dyDescent="0.25">
      <c r="A4" s="5">
        <f>'Guidebook Example'!A4</f>
        <v>1</v>
      </c>
      <c r="B4" s="5" t="str">
        <f>'Guidebook Example'!B4</f>
        <v>Mountain Rural</v>
      </c>
      <c r="C4" s="13">
        <f>'Guidebook Example'!C4</f>
        <v>80000</v>
      </c>
      <c r="D4" s="6">
        <f>'Guidebook Example'!F4</f>
        <v>240</v>
      </c>
      <c r="E4" s="8">
        <f>C4/D4</f>
        <v>333.33333333333331</v>
      </c>
      <c r="F4" s="6">
        <f>'Guidebook Example'!H4</f>
        <v>51</v>
      </c>
      <c r="G4" s="8">
        <f>C4/F4</f>
        <v>1568.6274509803923</v>
      </c>
      <c r="H4" s="6">
        <f>'Guidebook Example'!K4</f>
        <v>30</v>
      </c>
      <c r="I4" s="8">
        <f>C4/H4</f>
        <v>2666.6666666666665</v>
      </c>
      <c r="J4" s="6">
        <f>'Guidebook Example'!N4</f>
        <v>116</v>
      </c>
      <c r="K4" s="8">
        <f>C4/J4</f>
        <v>689.65517241379314</v>
      </c>
      <c r="L4" s="6">
        <f>'Guidebook Example'!P4</f>
        <v>17</v>
      </c>
      <c r="M4" s="8">
        <f>C4/L4</f>
        <v>4705.8823529411766</v>
      </c>
      <c r="N4" s="6">
        <f>'Floor Adjustment'!J6</f>
        <v>30</v>
      </c>
      <c r="O4" s="8">
        <f>C4/N4</f>
        <v>2666.6666666666665</v>
      </c>
    </row>
    <row r="5" spans="1:15" x14ac:dyDescent="0.25">
      <c r="A5" s="5">
        <f>'Guidebook Example'!A5</f>
        <v>2</v>
      </c>
      <c r="B5" s="5" t="str">
        <f>'Guidebook Example'!B5</f>
        <v>Hill Rural</v>
      </c>
      <c r="C5" s="13">
        <f>'Guidebook Example'!C5</f>
        <v>340000</v>
      </c>
      <c r="D5" s="6">
        <f>'Guidebook Example'!F5</f>
        <v>240</v>
      </c>
      <c r="E5" s="8">
        <f>C5/D5</f>
        <v>1416.6666666666667</v>
      </c>
      <c r="F5" s="6">
        <f>'Guidebook Example'!H5</f>
        <v>215</v>
      </c>
      <c r="G5" s="8">
        <f>C5/F5</f>
        <v>1581.3953488372092</v>
      </c>
      <c r="H5" s="6">
        <f>'Guidebook Example'!K5</f>
        <v>160</v>
      </c>
      <c r="I5" s="8">
        <f>C5/H5</f>
        <v>2125</v>
      </c>
      <c r="J5" s="6">
        <f>'Guidebook Example'!N5</f>
        <v>239</v>
      </c>
      <c r="K5" s="8">
        <f>C5/J5</f>
        <v>1422.5941422594142</v>
      </c>
      <c r="L5" s="6">
        <f>'Guidebook Example'!P5</f>
        <v>129</v>
      </c>
      <c r="M5" s="8">
        <f>C5/L5</f>
        <v>2635.6589147286822</v>
      </c>
      <c r="N5" s="6">
        <f>'Floor Adjustment'!J7</f>
        <v>128</v>
      </c>
      <c r="O5" s="8">
        <f>C5/N5</f>
        <v>2656.25</v>
      </c>
    </row>
    <row r="6" spans="1:15" x14ac:dyDescent="0.25">
      <c r="A6" s="5">
        <f>'Guidebook Example'!A6</f>
        <v>3</v>
      </c>
      <c r="B6" s="5" t="str">
        <f>'Guidebook Example'!B6</f>
        <v>Hill Urban</v>
      </c>
      <c r="C6" s="13">
        <f>'Guidebook Example'!C6</f>
        <v>260000</v>
      </c>
      <c r="D6" s="6">
        <f>'Guidebook Example'!F6</f>
        <v>240</v>
      </c>
      <c r="E6" s="8">
        <f>C6/D6</f>
        <v>1083.3333333333333</v>
      </c>
      <c r="F6" s="6">
        <f>'Guidebook Example'!H6</f>
        <v>164</v>
      </c>
      <c r="G6" s="8">
        <f>C6/F6</f>
        <v>1585.3658536585365</v>
      </c>
      <c r="H6" s="6">
        <f>'Guidebook Example'!K6</f>
        <v>180</v>
      </c>
      <c r="I6" s="8">
        <f>C6/H6</f>
        <v>1444.4444444444443</v>
      </c>
      <c r="J6" s="6">
        <f>'Guidebook Example'!N6</f>
        <v>209</v>
      </c>
      <c r="K6" s="8">
        <f>C6/J6</f>
        <v>1244.0191387559807</v>
      </c>
      <c r="L6" s="6">
        <f>'Guidebook Example'!P6</f>
        <v>167</v>
      </c>
      <c r="M6" s="8">
        <f>C6/L6</f>
        <v>1556.8862275449101</v>
      </c>
      <c r="N6" s="6">
        <f>'Floor Adjustment'!J8</f>
        <v>165</v>
      </c>
      <c r="O6" s="8">
        <f>C6/N6</f>
        <v>1575.7575757575758</v>
      </c>
    </row>
    <row r="7" spans="1:15" x14ac:dyDescent="0.25">
      <c r="A7" s="5">
        <f>'Guidebook Example'!A7</f>
        <v>4</v>
      </c>
      <c r="B7" s="5" t="str">
        <f>'Guidebook Example'!B7</f>
        <v>Terai Rural</v>
      </c>
      <c r="C7" s="13">
        <f>'Guidebook Example'!C7</f>
        <v>780000</v>
      </c>
      <c r="D7" s="6">
        <f>'Guidebook Example'!F7</f>
        <v>240</v>
      </c>
      <c r="E7" s="8">
        <f>C7/D7</f>
        <v>3250</v>
      </c>
      <c r="F7" s="6">
        <f>'Guidebook Example'!H7</f>
        <v>493</v>
      </c>
      <c r="G7" s="8">
        <f>C7/F7</f>
        <v>1582.1501014198782</v>
      </c>
      <c r="H7" s="6">
        <f>'Guidebook Example'!K7</f>
        <v>442</v>
      </c>
      <c r="I7" s="8">
        <f>C7/H7</f>
        <v>1764.7058823529412</v>
      </c>
      <c r="J7" s="6">
        <f>'Guidebook Example'!N7</f>
        <v>363</v>
      </c>
      <c r="K7" s="8">
        <f>C7/J7</f>
        <v>2148.7603305785124</v>
      </c>
      <c r="L7" s="6">
        <f>'Guidebook Example'!P7</f>
        <v>448</v>
      </c>
      <c r="M7" s="8">
        <f>C7/L7</f>
        <v>1741.0714285714287</v>
      </c>
      <c r="N7" s="6">
        <f>'Floor Adjustment'!J9</f>
        <v>443</v>
      </c>
      <c r="O7" s="8">
        <f>C7/N7</f>
        <v>1760.7223476297968</v>
      </c>
    </row>
    <row r="8" spans="1:15" x14ac:dyDescent="0.25">
      <c r="A8" s="5">
        <f>'Guidebook Example'!A8</f>
        <v>5</v>
      </c>
      <c r="B8" s="5" t="str">
        <f>'Guidebook Example'!B8</f>
        <v>Terai Urban</v>
      </c>
      <c r="C8" s="13">
        <f>'Guidebook Example'!C8</f>
        <v>440000</v>
      </c>
      <c r="D8" s="6">
        <f>'Guidebook Example'!F8</f>
        <v>240</v>
      </c>
      <c r="E8" s="8">
        <f>C8/D8</f>
        <v>1833.3333333333333</v>
      </c>
      <c r="F8" s="6">
        <f>'Guidebook Example'!H8</f>
        <v>277</v>
      </c>
      <c r="G8" s="8">
        <f>C8/F8</f>
        <v>1588.447653429603</v>
      </c>
      <c r="H8" s="6">
        <f>'Guidebook Example'!K8</f>
        <v>388</v>
      </c>
      <c r="I8" s="8">
        <f>C8/H8</f>
        <v>1134.020618556701</v>
      </c>
      <c r="J8" s="6">
        <f>'Guidebook Example'!N8</f>
        <v>273</v>
      </c>
      <c r="K8" s="8">
        <f>C8/J8</f>
        <v>1611.7216117216117</v>
      </c>
      <c r="L8" s="6">
        <f>'Guidebook Example'!P8</f>
        <v>439</v>
      </c>
      <c r="M8" s="8">
        <f>C8/L8</f>
        <v>1002.2779043280182</v>
      </c>
      <c r="N8" s="6">
        <f>'Floor Adjustment'!J10</f>
        <v>434</v>
      </c>
      <c r="O8" s="8">
        <f>C8/N8</f>
        <v>1013.8248847926267</v>
      </c>
    </row>
    <row r="9" spans="1:15" x14ac:dyDescent="0.25">
      <c r="A9" s="9" t="s">
        <v>25</v>
      </c>
      <c r="C9" s="9">
        <f>SUM(C4:C8)</f>
        <v>1900000</v>
      </c>
      <c r="D9" s="9">
        <f>SUM(D4:D8)</f>
        <v>1200</v>
      </c>
      <c r="F9" s="9">
        <f>SUM(F4:F8)</f>
        <v>1200</v>
      </c>
      <c r="H9" s="9">
        <f>SUM(H4:H8)</f>
        <v>1200</v>
      </c>
      <c r="J9" s="9">
        <f>SUM(J4:J8)</f>
        <v>1200</v>
      </c>
      <c r="L9" s="9">
        <f>SUM(L4:L8)</f>
        <v>1200</v>
      </c>
      <c r="N9" s="9">
        <f>SUM(N4:N8)</f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Guidebook Example</vt:lpstr>
      <vt:lpstr>Floor Adjustment</vt:lpstr>
      <vt:lpstr>Design Weights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Allocation Guidebook Example</dc:title>
  <dc:subject>Formula-driven Excel workbook for stratified sample allocation</dc:subject>
  <dc:creator>Codex</dc:creator>
  <cp:lastModifiedBy>Anil Shrestha</cp:lastModifiedBy>
  <dcterms:created xsi:type="dcterms:W3CDTF">2026-06-23T16:54:08Z</dcterms:created>
  <dcterms:modified xsi:type="dcterms:W3CDTF">2026-06-23T17:14:22Z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2026-06-23T16:58:56Z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e5a000ab-3cbe-4152-966d-a24f312506ae</vt:lpwstr>
  </property>
  <property fmtid="{D5CDD505-2E9C-101B-9397-08002B2CF9AE}" pid="7" name="MSIP_Label_defa4170-0d19-0005-0004-bc88714345d2_ActionId">
    <vt:lpwstr>5ddfc542-586e-41f5-a3e5-e723ff4a162a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